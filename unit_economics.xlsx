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Generate data\data\"/>
    </mc:Choice>
  </mc:AlternateContent>
  <xr:revisionPtr revIDLastSave="0" documentId="13_ncr:1_{772A5766-28FB-4719-A32F-84DB6E0DA69F}" xr6:coauthVersionLast="47" xr6:coauthVersionMax="47" xr10:uidLastSave="{00000000-0000-0000-0000-000000000000}"/>
  <bookViews>
    <workbookView xWindow="28680" yWindow="-120" windowWidth="38640" windowHeight="21240" xr2:uid="{DE321A8E-C974-45CA-A9AA-2D57B914AA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1" i="1"/>
  <c r="B10" i="1"/>
  <c r="B13" i="1" s="1"/>
  <c r="B14" i="1" s="1"/>
  <c r="B15" i="1" s="1"/>
  <c r="D1" i="1" s="1"/>
  <c r="B9" i="1"/>
</calcChain>
</file>

<file path=xl/sharedStrings.xml><?xml version="1.0" encoding="utf-8"?>
<sst xmlns="http://schemas.openxmlformats.org/spreadsheetml/2006/main" count="15" uniqueCount="15">
  <si>
    <t>Take rate</t>
  </si>
  <si>
    <t>Avg ticket size</t>
  </si>
  <si>
    <t>Agent cost per txn</t>
  </si>
  <si>
    <t>Total cost per txn</t>
  </si>
  <si>
    <t>Contribution per txn</t>
  </si>
  <si>
    <t>Monthly profit</t>
  </si>
  <si>
    <t>Cash-out share</t>
  </si>
  <si>
    <t>Agent commission(%of fee)</t>
  </si>
  <si>
    <t xml:space="preserve">Processing cost per txn </t>
  </si>
  <si>
    <t xml:space="preserve">Fraud loss rate </t>
  </si>
  <si>
    <t>Monthly transaction</t>
  </si>
  <si>
    <t>revenue per txn</t>
  </si>
  <si>
    <t>Processing cost per txn</t>
  </si>
  <si>
    <t>fraud loss per txn</t>
  </si>
  <si>
    <t>Cash-out share ↓ / Take rate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</si>
</sst>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2A55-FFA4-4855-BEB3-705C3F56C30B}">
  <dimension ref="A1:I15"/>
  <sheetViews>
    <sheetView tabSelected="1" zoomScale="265" zoomScaleNormal="265" workbookViewId="0">
      <selection activeCell="D8" sqref="D8"/>
    </sheetView>
  </sheetViews>
  <sheetFormatPr defaultRowHeight="14.5" x14ac:dyDescent="0.35"/>
  <cols>
    <col min="1" max="1" width="23.81640625" bestFit="1" customWidth="1"/>
    <col min="2" max="2" width="9.1796875" customWidth="1"/>
    <col min="3" max="3" width="27.453125" style="2" bestFit="1" customWidth="1"/>
  </cols>
  <sheetData>
    <row r="1" spans="1:9" x14ac:dyDescent="0.35">
      <c r="A1" t="s">
        <v>0</v>
      </c>
      <c r="B1">
        <v>1.8499999999999999E-2</v>
      </c>
      <c r="C1" s="1" t="s">
        <v>14</v>
      </c>
      <c r="D1">
        <f>B15</f>
        <v>103607.12049999999</v>
      </c>
      <c r="E1">
        <v>1.49E-2</v>
      </c>
      <c r="F1">
        <v>1.6500000000000001E-2</v>
      </c>
      <c r="G1">
        <v>1.8499999999999999E-2</v>
      </c>
      <c r="H1">
        <v>0.2</v>
      </c>
      <c r="I1">
        <v>2.1999999999999999E-2</v>
      </c>
    </row>
    <row r="2" spans="1:9" x14ac:dyDescent="0.35">
      <c r="A2" t="s">
        <v>1</v>
      </c>
      <c r="B2">
        <v>9575</v>
      </c>
      <c r="D2">
        <v>0.1</v>
      </c>
      <c r="E2">
        <f t="dataTable" ref="E2:I6" dt2D="1" dtr="1" r1="B1" r2="B3"/>
        <v>48121.565799999997</v>
      </c>
      <c r="F2">
        <v>55030.273000000001</v>
      </c>
      <c r="G2">
        <v>63666.157000000007</v>
      </c>
      <c r="H2">
        <v>847372.62999999989</v>
      </c>
      <c r="I2">
        <v>78778.953999999983</v>
      </c>
    </row>
    <row r="3" spans="1:9" x14ac:dyDescent="0.35">
      <c r="A3" t="s">
        <v>6</v>
      </c>
      <c r="B3">
        <v>0.15</v>
      </c>
      <c r="C3" s="3"/>
      <c r="D3">
        <v>0.125</v>
      </c>
      <c r="E3">
        <v>64205.89974999999</v>
      </c>
      <c r="F3">
        <v>72841.783750000017</v>
      </c>
      <c r="G3">
        <v>83636.638749999998</v>
      </c>
      <c r="H3">
        <v>1063269.73</v>
      </c>
      <c r="I3">
        <v>102527.63499999999</v>
      </c>
    </row>
    <row r="4" spans="1:9" x14ac:dyDescent="0.35">
      <c r="A4" t="s">
        <v>7</v>
      </c>
      <c r="B4">
        <v>0.4</v>
      </c>
      <c r="C4" s="3"/>
      <c r="D4">
        <v>0.15</v>
      </c>
      <c r="E4">
        <v>80290.233699999997</v>
      </c>
      <c r="F4">
        <v>90653.294500000018</v>
      </c>
      <c r="G4">
        <v>103607.12049999999</v>
      </c>
      <c r="H4">
        <v>1279166.83</v>
      </c>
      <c r="I4">
        <v>126276.31599999999</v>
      </c>
    </row>
    <row r="5" spans="1:9" x14ac:dyDescent="0.35">
      <c r="A5" t="s">
        <v>8</v>
      </c>
      <c r="B5">
        <v>1.2</v>
      </c>
      <c r="D5">
        <v>0.17499999999999999</v>
      </c>
      <c r="E5">
        <v>96374.567649999983</v>
      </c>
      <c r="F5">
        <v>108464.80525</v>
      </c>
      <c r="G5">
        <v>123577.60224999998</v>
      </c>
      <c r="H5">
        <v>1495063.93</v>
      </c>
      <c r="I5">
        <v>150024.99699999997</v>
      </c>
    </row>
    <row r="6" spans="1:9" x14ac:dyDescent="0.35">
      <c r="A6" t="s">
        <v>9</v>
      </c>
      <c r="B6">
        <v>1E-4</v>
      </c>
      <c r="C6" s="3"/>
      <c r="D6">
        <v>0.2</v>
      </c>
      <c r="E6">
        <v>112458.9016</v>
      </c>
      <c r="F6">
        <v>126276.31600000002</v>
      </c>
      <c r="G6">
        <v>143548.084</v>
      </c>
      <c r="H6">
        <v>1710961.0299999998</v>
      </c>
      <c r="I6">
        <v>173773.67799999999</v>
      </c>
    </row>
    <row r="7" spans="1:9" x14ac:dyDescent="0.35">
      <c r="A7" t="s">
        <v>10</v>
      </c>
      <c r="B7">
        <v>7516</v>
      </c>
    </row>
    <row r="9" spans="1:9" x14ac:dyDescent="0.35">
      <c r="A9" t="s">
        <v>11</v>
      </c>
      <c r="B9">
        <f>B2*B1*B3</f>
        <v>26.570624999999996</v>
      </c>
    </row>
    <row r="10" spans="1:9" x14ac:dyDescent="0.35">
      <c r="A10" t="s">
        <v>2</v>
      </c>
      <c r="B10">
        <f>B9*B4</f>
        <v>10.62825</v>
      </c>
    </row>
    <row r="11" spans="1:9" x14ac:dyDescent="0.35">
      <c r="A11" t="s">
        <v>12</v>
      </c>
      <c r="B11">
        <f>B5</f>
        <v>1.2</v>
      </c>
    </row>
    <row r="12" spans="1:9" x14ac:dyDescent="0.35">
      <c r="A12" t="s">
        <v>13</v>
      </c>
      <c r="B12">
        <f>B2*B6</f>
        <v>0.95750000000000002</v>
      </c>
    </row>
    <row r="13" spans="1:9" x14ac:dyDescent="0.35">
      <c r="A13" t="s">
        <v>3</v>
      </c>
      <c r="B13">
        <f>B10+B11+B12</f>
        <v>12.785749999999998</v>
      </c>
    </row>
    <row r="14" spans="1:9" x14ac:dyDescent="0.35">
      <c r="A14" t="s">
        <v>4</v>
      </c>
      <c r="B14">
        <f>B9-B13</f>
        <v>13.784874999999998</v>
      </c>
    </row>
    <row r="15" spans="1:9" x14ac:dyDescent="0.35">
      <c r="A15" t="s">
        <v>5</v>
      </c>
      <c r="B15">
        <f>B14*B7</f>
        <v>103607.12049999999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s23229615</dc:creator>
  <cp:lastModifiedBy>s23229615</cp:lastModifiedBy>
  <dcterms:created xsi:type="dcterms:W3CDTF">2026-09-05T04:15:58Z</dcterms:created>
  <dcterms:modified xsi:type="dcterms:W3CDTF">2026-09-05T07:56:02Z</dcterms:modified>
</cp:coreProperties>
</file>